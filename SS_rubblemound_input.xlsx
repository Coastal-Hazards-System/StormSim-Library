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0_StormSim_Task\StormSim-Library\"/>
    </mc:Choice>
  </mc:AlternateContent>
  <xr:revisionPtr revIDLastSave="0" documentId="13_ncr:1_{DA2DA920-2572-4877-AF7D-906AF5CA3069}" xr6:coauthVersionLast="47" xr6:coauthVersionMax="47" xr10:uidLastSave="{00000000-0000-0000-0000-000000000000}"/>
  <bookViews>
    <workbookView xWindow="4650" yWindow="810" windowWidth="28800" windowHeight="15255" xr2:uid="{DF680589-5370-4D92-A3AE-D910B140CCC4}"/>
  </bookViews>
  <sheets>
    <sheet name="Rubblemoun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1" l="1"/>
</calcChain>
</file>

<file path=xl/sharedStrings.xml><?xml version="1.0" encoding="utf-8"?>
<sst xmlns="http://schemas.openxmlformats.org/spreadsheetml/2006/main" count="239" uniqueCount="155">
  <si>
    <t>NA</t>
  </si>
  <si>
    <t>Shielding Parameter To Use For Damaging Depths</t>
  </si>
  <si>
    <t>compute_damaging_depth_Ks</t>
  </si>
  <si>
    <t>Comput Damaging Depth Response</t>
  </si>
  <si>
    <t>compute_damaging_depth</t>
  </si>
  <si>
    <t>Compute Overtopping Discharge Volume Unit Width Response (Eurotop) (RB3 Only)</t>
  </si>
  <si>
    <t>compute_q_vol</t>
  </si>
  <si>
    <t>Compute Overtopping Discharge Rate per Unit Width Response (Eurotop)</t>
  </si>
  <si>
    <t>compute_q</t>
  </si>
  <si>
    <t>Compute Run-up Response (Eurotop)</t>
  </si>
  <si>
    <t>compute_r2p</t>
  </si>
  <si>
    <t>Compute Landward Median Stone Size Response (Van Gent)</t>
  </si>
  <si>
    <t>compute_dn50_leeside</t>
  </si>
  <si>
    <t>Compute Seaward Median Stone Size Response (Momentum Flux)</t>
  </si>
  <si>
    <t>compute_dn50_seaside</t>
  </si>
  <si>
    <t>Value</t>
  </si>
  <si>
    <t>Units</t>
  </si>
  <si>
    <t>Field Names</t>
  </si>
  <si>
    <t>Model Variable Symbol</t>
  </si>
  <si>
    <t>Structure Responses</t>
  </si>
  <si>
    <t>Roughness Coefficient, 2 for grass; 1 for concrete, asphalt, or closed blocks; 0.9 for basalt or placed revetment blocks; 0.8 for stepped structure; Table 6.2 from EurOtop (2018) (rubble mound )</t>
  </si>
  <si>
    <t>roughness_ifactor</t>
  </si>
  <si>
    <t>StormSim: LCS-CSR Leeside Ultimate Limit State (ULS)</t>
  </si>
  <si>
    <t>leeside_S_uls</t>
  </si>
  <si>
    <t>StormSim: LCS-CSR Seaside Ultimate Limit State (ULS)</t>
  </si>
  <si>
    <t>seaside_S_uls</t>
  </si>
  <si>
    <t>StormSim:PROS Design Leeside Limit Damage State (Estimate stone size)</t>
  </si>
  <si>
    <t>leeside_design_S</t>
  </si>
  <si>
    <t>StormSim:PROS Design Seaside Limit Damage State (Estimate stone size)</t>
  </si>
  <si>
    <t>seaside_design_S</t>
  </si>
  <si>
    <t>[Figure VI-5-11 CEM]</t>
  </si>
  <si>
    <t>Mean Value Of Structure Notational Permeability Coefficient (P)</t>
  </si>
  <si>
    <t>cem_P</t>
  </si>
  <si>
    <t>[kg/m^3]</t>
  </si>
  <si>
    <t>Water Density</t>
  </si>
  <si>
    <t>water_density</t>
  </si>
  <si>
    <t>[kg]</t>
  </si>
  <si>
    <t>Leeside Stone Mass</t>
  </si>
  <si>
    <t>leeside_mass</t>
  </si>
  <si>
    <t>Seaside Stone Mass</t>
  </si>
  <si>
    <t>seaside_mass</t>
  </si>
  <si>
    <t>Armor Immersed Relative Density Delta</t>
  </si>
  <si>
    <t>armor_delta</t>
  </si>
  <si>
    <t>Structure Properties</t>
  </si>
  <si>
    <t>[m]</t>
  </si>
  <si>
    <t>Mound Landward Slope (cota)</t>
  </si>
  <si>
    <t>leeside_slope</t>
  </si>
  <si>
    <t>Mound/Berm Seaward Slope (cota)</t>
  </si>
  <si>
    <t>seaside_slope</t>
  </si>
  <si>
    <t>Mound Toe Elevation (Negative Below Datum Zero)</t>
  </si>
  <si>
    <t>toe_elevation</t>
  </si>
  <si>
    <t>Crest Width/Wall Width</t>
  </si>
  <si>
    <t>crest_width</t>
  </si>
  <si>
    <t>Crest Elevation/Top of Wall Elevation</t>
  </si>
  <si>
    <t>crest_elevation</t>
  </si>
  <si>
    <t>Plot hazard curve cross section plots (0 - Off, 1 - On)</t>
  </si>
  <si>
    <t>pros_plot_hc_xsec</t>
  </si>
  <si>
    <t>Plot RB1 priority datasets responses comparison (0 - Off, 1 - On)</t>
  </si>
  <si>
    <t>pros_plot_prioty_comp</t>
  </si>
  <si>
    <t>Structure Geometry</t>
  </si>
  <si>
    <t>Plot forcing hazard curves with corresponding POT sample (0 - Off, 1 - On)</t>
  </si>
  <si>
    <t>pros_plot_forcing_hc_w_pot</t>
  </si>
  <si>
    <t>Plot individual responses hazard curves (0 - Off, 1 - On)</t>
  </si>
  <si>
    <t>pros_plot_hc</t>
  </si>
  <si>
    <t>none</t>
  </si>
  <si>
    <t>Tidal file used to randomly sample tidal values for storm SWL. (Relative Path)</t>
  </si>
  <si>
    <t>tide_file</t>
  </si>
  <si>
    <t>Use AEP or AEF for hazard curves (1 - AEP, 0-AEF)</t>
  </si>
  <si>
    <t>pros_use_aep</t>
  </si>
  <si>
    <t>Chicago_files\CHS-GLMH_XH_SimBslc0_Post0_SP37697_Timeseries.zip</t>
  </si>
  <si>
    <t>CHS Zip Folder or Custom Modeling .mat File (Relative Path)</t>
  </si>
  <si>
    <t>chs_zip</t>
  </si>
  <si>
    <t>Compute Hazard for Waves and WL (1 - On, 2 - Off)</t>
  </si>
  <si>
    <t>pros_compute_forcing_HC</t>
  </si>
  <si>
    <t>StormSim: Probabilistic Run-up, Overtopping &amp; Stone Sizing (PROS)</t>
  </si>
  <si>
    <t>m</t>
  </si>
  <si>
    <t>CHS savepoint depth (Will be used if not found in h5)</t>
  </si>
  <si>
    <t>chs_sp_depth</t>
  </si>
  <si>
    <t>Cutoff Elevation Delta (Number&gt;=0)</t>
  </si>
  <si>
    <t>csr_cutoff_offset</t>
  </si>
  <si>
    <t>hrs</t>
  </si>
  <si>
    <t>Storm duration.</t>
  </si>
  <si>
    <t>storm_duration</t>
  </si>
  <si>
    <t>Apply Cutoff Correction (0/1)</t>
  </si>
  <si>
    <t>csr_apply_cutoff_correction</t>
  </si>
  <si>
    <t>Description</t>
  </si>
  <si>
    <t>Allow Structure Repair (0/1)</t>
  </si>
  <si>
    <t>csr_apply_structure_repair</t>
  </si>
  <si>
    <t>StormSim Project Forcing Data</t>
  </si>
  <si>
    <t>Call StormSim: CSR-DPA (0/1)</t>
  </si>
  <si>
    <t>csr_call_dpa</t>
  </si>
  <si>
    <t>Define Reference case_name To Load project_forcing From</t>
  </si>
  <si>
    <t>ref_case_name</t>
  </si>
  <si>
    <t>StormSim: Coastal Structure Reliability Damage  (CSR) Module</t>
  </si>
  <si>
    <t>Load project_forcing StormSim File From Other case_name Under The Same project_name (0- Sample New Storms/1-Load Previous Storm Suite)</t>
  </si>
  <si>
    <t>load_project_forcing</t>
  </si>
  <si>
    <t>Generate output visualizations (0 - Off, 1 - On)</t>
  </si>
  <si>
    <t>create_plots</t>
  </si>
  <si>
    <t>[years]</t>
  </si>
  <si>
    <t>Number Of Years To Be Simulated In A Life Cycle</t>
  </si>
  <si>
    <t>mcs_nYears</t>
  </si>
  <si>
    <t>Create Wave Height Priority Peaks Dataset (WLP)  (0 - Off / 1 - On). (Requires peaks and timeseries files)</t>
  </si>
  <si>
    <t>create_whp</t>
  </si>
  <si>
    <t>Number Of Life Cycles</t>
  </si>
  <si>
    <t>mcs_nLC</t>
  </si>
  <si>
    <t>Create Water Level Priority Peaks Dataset (WLP)  (0 - Off / 1 - On). (Requires peaks and timeseries files)</t>
  </si>
  <si>
    <t>create_wlp</t>
  </si>
  <si>
    <t>Include forcing timeseries files as part of the analysis.  (0 - Off / 1 - On)</t>
  </si>
  <si>
    <t>use_timeseries</t>
  </si>
  <si>
    <t xml:space="preserve"> </t>
  </si>
  <si>
    <t>StormSim: Monte Carlo Simulation (MCS) Module Inputs</t>
  </si>
  <si>
    <t>Include forcing peaks files as part of the analysis.  (0 - Off / 1 - On)</t>
  </si>
  <si>
    <t>use_peaks</t>
  </si>
  <si>
    <t>Apply Depth Limitation To Waves  (0 - Off / 1 - On)</t>
  </si>
  <si>
    <t>apply_depth_limitation</t>
  </si>
  <si>
    <t>Apply random tide to storm SWL (0 - Off / 1 - On)</t>
  </si>
  <si>
    <t>apply_random_tides</t>
  </si>
  <si>
    <t>Sea level rise applied as vertical offset to SWL.</t>
  </si>
  <si>
    <t>swl_slr</t>
  </si>
  <si>
    <t>XC</t>
  </si>
  <si>
    <t>Storm sampling scheme to use for project. (XC,TC or CC)</t>
  </si>
  <si>
    <t>storm_sampling</t>
  </si>
  <si>
    <t>Structure type  (Levee - 1, Floodwalls - 2, Rubblemound - 3)</t>
  </si>
  <si>
    <t>struc_type</t>
  </si>
  <si>
    <t>StormSim workflow to call for project. (1 - StormSim:PROS , 3- StormSim:LCS, 4- StormSim: PROS Frequency Base (FB))</t>
  </si>
  <si>
    <t>workflow</t>
  </si>
  <si>
    <t>[84 90]</t>
  </si>
  <si>
    <t>Percentiles to compute CLs (max 4, 50 is already being calculated)</t>
  </si>
  <si>
    <t>project_CLs</t>
  </si>
  <si>
    <t>IGLD85</t>
  </si>
  <si>
    <t>Project output datum. (Still not implemented. Used for plot title currently)</t>
  </si>
  <si>
    <t>project_datum</t>
  </si>
  <si>
    <t>SS_Outputs_7175_T3</t>
  </si>
  <si>
    <t>StormSim Project output folder.</t>
  </si>
  <si>
    <t>outfolder</t>
  </si>
  <si>
    <t>Seawall_existing</t>
  </si>
  <si>
    <t>Case Name</t>
  </si>
  <si>
    <t>case_name</t>
  </si>
  <si>
    <t>R7175_T3</t>
  </si>
  <si>
    <t>Structure/Trasnsect ID</t>
  </si>
  <si>
    <t>struc_id</t>
  </si>
  <si>
    <t>Chicago Shoreline GRR</t>
  </si>
  <si>
    <t>Project name</t>
  </si>
  <si>
    <t>project_name</t>
  </si>
  <si>
    <t>StormSim Project General Inputs</t>
  </si>
  <si>
    <t>compute_wave_transmission</t>
  </si>
  <si>
    <t>Compute wave transmission (eurotop)</t>
  </si>
  <si>
    <t>Compute Dn50 Responses When Submerged (CEM VI-5-25)</t>
  </si>
  <si>
    <t>csr_compute_S_submerged</t>
  </si>
  <si>
    <t>compute_dn50_submerged</t>
  </si>
  <si>
    <t>chs_dependencies</t>
  </si>
  <si>
    <t>CHS regional dependencies folder</t>
  </si>
  <si>
    <t>..\CHS_Dependencies</t>
  </si>
  <si>
    <t>offshore_slope</t>
  </si>
  <si>
    <t>Offshore slope (cota)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</si>
</sst>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2" borderId="0" xfId="0" applyFill="1"/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/>
    <xf numFmtId="0" fontId="0" fillId="0" borderId="3" xfId="0" applyBorder="1" applyAlignment="1" applyProtection="1">
      <alignment horizontal="center" vertical="center"/>
      <protection locked="0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4" xfId="0" applyBorder="1"/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2" borderId="0" xfId="0" applyFont="1" applyFill="1"/>
    <xf numFmtId="0" fontId="0" fillId="4" borderId="0" xfId="0" applyFill="1"/>
    <xf numFmtId="0" fontId="0" fillId="0" borderId="7" xfId="0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left" vertical="center" wrapText="1"/>
    </xf>
    <xf numFmtId="0" fontId="0" fillId="0" borderId="8" xfId="0" applyBorder="1" applyAlignment="1">
      <alignment horizontal="left" vertical="center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10" xfId="0" applyBorder="1"/>
    <xf numFmtId="0" fontId="1" fillId="4" borderId="0" xfId="0" applyFont="1" applyFill="1"/>
    <xf numFmtId="0" fontId="1" fillId="5" borderId="0" xfId="0" applyFont="1" applyFill="1"/>
    <xf numFmtId="0" fontId="0" fillId="0" borderId="8" xfId="0" applyBorder="1" applyAlignment="1" applyProtection="1">
      <alignment horizontal="center" vertical="center"/>
      <protection locked="0"/>
    </xf>
    <xf numFmtId="0" fontId="0" fillId="0" borderId="11" xfId="0" applyBorder="1"/>
    <xf numFmtId="0" fontId="0" fillId="5" borderId="0" xfId="0" applyFill="1"/>
    <xf numFmtId="0" fontId="0" fillId="6" borderId="0" xfId="0" applyFill="1"/>
    <xf numFmtId="0" fontId="2" fillId="0" borderId="10" xfId="0" applyFont="1" applyBorder="1"/>
    <xf numFmtId="0" fontId="2" fillId="0" borderId="9" xfId="0" applyFont="1" applyBorder="1" applyAlignment="1">
      <alignment horizontal="center" vertical="center"/>
    </xf>
    <xf numFmtId="0" fontId="0" fillId="7" borderId="0" xfId="0" applyFill="1"/>
    <xf numFmtId="0" fontId="3" fillId="7" borderId="0" xfId="0" applyFont="1" applyFill="1" applyAlignment="1">
      <alignment vertical="center"/>
    </xf>
    <xf numFmtId="0" fontId="0" fillId="8" borderId="0" xfId="0" applyFill="1"/>
    <xf numFmtId="0" fontId="4" fillId="6" borderId="0" xfId="0" applyFont="1" applyFill="1"/>
    <xf numFmtId="0" fontId="0" fillId="9" borderId="0" xfId="0" applyFill="1" applyAlignment="1">
      <alignment horizontal="center"/>
    </xf>
    <xf numFmtId="0" fontId="0" fillId="9" borderId="0" xfId="0" applyFill="1" applyAlignment="1">
      <alignment horizontal="left"/>
    </xf>
    <xf numFmtId="0" fontId="0" fillId="9" borderId="0" xfId="0" applyFill="1"/>
    <xf numFmtId="0" fontId="1" fillId="8" borderId="0" xfId="0" applyFont="1" applyFill="1"/>
    <xf numFmtId="0" fontId="0" fillId="10" borderId="0" xfId="0" applyFill="1"/>
    <xf numFmtId="0" fontId="1" fillId="10" borderId="0" xfId="0" applyFont="1" applyFill="1"/>
    <xf numFmtId="0" fontId="4" fillId="9" borderId="0" xfId="0" applyFont="1" applyFill="1"/>
    <xf numFmtId="0" fontId="0" fillId="0" borderId="12" xfId="0" applyBorder="1"/>
    <xf numFmtId="0" fontId="0" fillId="0" borderId="13" xfId="0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 applyProtection="1">
      <alignment horizontal="center" vertical="center"/>
      <protection locked="0"/>
    </xf>
    <xf numFmtId="0" fontId="0" fillId="0" borderId="9" xfId="0" applyFill="1" applyBorder="1" applyAlignment="1">
      <alignment horizontal="left" vertical="center"/>
    </xf>
    <xf numFmtId="0" fontId="0" fillId="0" borderId="9" xfId="0" applyFill="1" applyBorder="1" applyAlignment="1">
      <alignment horizontal="center" vertical="center"/>
    </xf>
    <xf numFmtId="0" fontId="0" fillId="0" borderId="9" xfId="0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E9416-AE2D-4233-9805-411704AE5E86}">
  <sheetPr codeName="Sheet3"/>
  <dimension ref="A1:I60"/>
  <sheetViews>
    <sheetView tabSelected="1" zoomScale="70" zoomScaleNormal="70" workbookViewId="0">
      <selection activeCell="B6" sqref="B6"/>
    </sheetView>
  </sheetViews>
  <sheetFormatPr defaultRowHeight="15" x14ac:dyDescent="0.25"/>
  <cols>
    <col min="1" max="1" width="101.7109375" customWidth="1"/>
    <col min="2" max="2" width="53.5703125" customWidth="1"/>
    <col min="3" max="3" width="19.28515625" bestFit="1" customWidth="1"/>
    <col min="4" max="4" width="153.42578125" customWidth="1"/>
    <col min="6" max="6" width="45" customWidth="1"/>
    <col min="7" max="7" width="84.28515625" bestFit="1" customWidth="1"/>
    <col min="8" max="8" width="46.140625" customWidth="1"/>
    <col min="9" max="9" width="13.5703125" bestFit="1" customWidth="1"/>
  </cols>
  <sheetData>
    <row r="1" spans="1:9" ht="15.75" thickBot="1" x14ac:dyDescent="0.3">
      <c r="A1" s="40" t="s">
        <v>144</v>
      </c>
      <c r="B1" s="36"/>
      <c r="C1" s="36"/>
      <c r="D1" s="36"/>
      <c r="F1" s="12" t="s">
        <v>19</v>
      </c>
      <c r="G1" s="1"/>
      <c r="H1" s="1"/>
      <c r="I1" s="1"/>
    </row>
    <row r="2" spans="1:9" ht="15.75" thickBot="1" x14ac:dyDescent="0.3">
      <c r="A2" s="11" t="s">
        <v>18</v>
      </c>
      <c r="B2" s="10" t="s">
        <v>85</v>
      </c>
      <c r="C2" s="10" t="s">
        <v>16</v>
      </c>
      <c r="D2" s="10" t="s">
        <v>15</v>
      </c>
      <c r="F2" s="11" t="s">
        <v>18</v>
      </c>
      <c r="G2" s="10" t="s">
        <v>17</v>
      </c>
      <c r="H2" s="10" t="s">
        <v>16</v>
      </c>
      <c r="I2" s="10" t="s">
        <v>15</v>
      </c>
    </row>
    <row r="3" spans="1:9" x14ac:dyDescent="0.25">
      <c r="A3" s="21" t="s">
        <v>143</v>
      </c>
      <c r="B3" s="20" t="s">
        <v>142</v>
      </c>
      <c r="C3" s="19" t="s">
        <v>0</v>
      </c>
      <c r="D3" s="18" t="s">
        <v>141</v>
      </c>
      <c r="F3" s="9" t="s">
        <v>14</v>
      </c>
      <c r="G3" s="8" t="s">
        <v>13</v>
      </c>
      <c r="H3" s="7" t="s">
        <v>0</v>
      </c>
      <c r="I3" s="6">
        <v>1</v>
      </c>
    </row>
    <row r="4" spans="1:9" x14ac:dyDescent="0.25">
      <c r="A4" s="5" t="s">
        <v>140</v>
      </c>
      <c r="B4" s="4" t="s">
        <v>139</v>
      </c>
      <c r="C4" s="3" t="s">
        <v>0</v>
      </c>
      <c r="D4" s="2" t="s">
        <v>138</v>
      </c>
      <c r="F4" s="5" t="s">
        <v>12</v>
      </c>
      <c r="G4" s="4" t="s">
        <v>11</v>
      </c>
      <c r="H4" s="3" t="s">
        <v>0</v>
      </c>
      <c r="I4" s="2">
        <v>1</v>
      </c>
    </row>
    <row r="5" spans="1:9" x14ac:dyDescent="0.25">
      <c r="A5" s="5" t="s">
        <v>137</v>
      </c>
      <c r="B5" s="4" t="s">
        <v>136</v>
      </c>
      <c r="C5" s="3" t="s">
        <v>0</v>
      </c>
      <c r="D5" s="2" t="s">
        <v>135</v>
      </c>
      <c r="F5" s="5" t="s">
        <v>149</v>
      </c>
      <c r="G5" s="4" t="s">
        <v>147</v>
      </c>
      <c r="H5" s="3" t="s">
        <v>0</v>
      </c>
      <c r="I5" s="2">
        <v>1</v>
      </c>
    </row>
    <row r="6" spans="1:9" x14ac:dyDescent="0.25">
      <c r="A6" s="5" t="s">
        <v>134</v>
      </c>
      <c r="B6" s="4" t="s">
        <v>133</v>
      </c>
      <c r="C6" s="3" t="s">
        <v>0</v>
      </c>
      <c r="D6" s="2" t="s">
        <v>132</v>
      </c>
      <c r="F6" s="5" t="s">
        <v>10</v>
      </c>
      <c r="G6" s="4" t="s">
        <v>9</v>
      </c>
      <c r="H6" s="3" t="s">
        <v>0</v>
      </c>
      <c r="I6" s="2">
        <v>1</v>
      </c>
    </row>
    <row r="7" spans="1:9" x14ac:dyDescent="0.25">
      <c r="A7" s="5" t="s">
        <v>131</v>
      </c>
      <c r="B7" s="4" t="s">
        <v>130</v>
      </c>
      <c r="C7" s="3" t="s">
        <v>0</v>
      </c>
      <c r="D7" s="2" t="s">
        <v>129</v>
      </c>
      <c r="F7" s="5" t="s">
        <v>145</v>
      </c>
      <c r="G7" s="4" t="s">
        <v>146</v>
      </c>
      <c r="H7" s="3" t="s">
        <v>0</v>
      </c>
      <c r="I7" s="2">
        <v>1</v>
      </c>
    </row>
    <row r="8" spans="1:9" x14ac:dyDescent="0.25">
      <c r="A8" s="5" t="s">
        <v>128</v>
      </c>
      <c r="B8" s="4" t="s">
        <v>127</v>
      </c>
      <c r="C8" s="3" t="s">
        <v>0</v>
      </c>
      <c r="D8" s="2" t="s">
        <v>126</v>
      </c>
      <c r="F8" s="5" t="s">
        <v>8</v>
      </c>
      <c r="G8" s="4" t="s">
        <v>7</v>
      </c>
      <c r="H8" s="3" t="s">
        <v>0</v>
      </c>
      <c r="I8" s="2">
        <v>1</v>
      </c>
    </row>
    <row r="9" spans="1:9" x14ac:dyDescent="0.25">
      <c r="A9" s="5" t="s">
        <v>125</v>
      </c>
      <c r="B9" s="4" t="s">
        <v>124</v>
      </c>
      <c r="C9" s="3" t="s">
        <v>0</v>
      </c>
      <c r="D9" s="2">
        <v>1</v>
      </c>
      <c r="F9" s="5" t="s">
        <v>6</v>
      </c>
      <c r="G9" s="4" t="s">
        <v>5</v>
      </c>
      <c r="H9" s="3" t="s">
        <v>0</v>
      </c>
      <c r="I9" s="2">
        <v>1</v>
      </c>
    </row>
    <row r="10" spans="1:9" x14ac:dyDescent="0.25">
      <c r="A10" s="5" t="s">
        <v>123</v>
      </c>
      <c r="B10" s="48" t="s">
        <v>122</v>
      </c>
      <c r="C10" s="49" t="s">
        <v>0</v>
      </c>
      <c r="D10" s="50">
        <v>3</v>
      </c>
      <c r="F10" s="5" t="s">
        <v>4</v>
      </c>
      <c r="G10" s="4" t="s">
        <v>3</v>
      </c>
      <c r="H10" s="3" t="s">
        <v>0</v>
      </c>
      <c r="I10" s="2">
        <v>0</v>
      </c>
    </row>
    <row r="11" spans="1:9" x14ac:dyDescent="0.25">
      <c r="A11" s="5" t="s">
        <v>121</v>
      </c>
      <c r="B11" s="48" t="s">
        <v>120</v>
      </c>
      <c r="C11" s="49" t="s">
        <v>0</v>
      </c>
      <c r="D11" s="50" t="s">
        <v>119</v>
      </c>
      <c r="F11" s="5" t="s">
        <v>2</v>
      </c>
      <c r="G11" s="4" t="s">
        <v>1</v>
      </c>
      <c r="H11" s="3" t="s">
        <v>0</v>
      </c>
      <c r="I11" s="2">
        <v>1</v>
      </c>
    </row>
    <row r="12" spans="1:9" x14ac:dyDescent="0.25">
      <c r="A12" s="5" t="s">
        <v>118</v>
      </c>
      <c r="B12" s="48" t="s">
        <v>117</v>
      </c>
      <c r="C12" s="49" t="s">
        <v>44</v>
      </c>
      <c r="D12" s="50">
        <v>176.45</v>
      </c>
      <c r="F12" s="1"/>
      <c r="G12" s="1"/>
      <c r="H12" s="1"/>
      <c r="I12" s="1"/>
    </row>
    <row r="13" spans="1:9" ht="15.75" thickBot="1" x14ac:dyDescent="0.3">
      <c r="A13" s="5" t="s">
        <v>116</v>
      </c>
      <c r="B13" s="48" t="s">
        <v>115</v>
      </c>
      <c r="C13" s="49" t="s">
        <v>0</v>
      </c>
      <c r="D13" s="50">
        <v>0</v>
      </c>
      <c r="F13" s="39" t="s">
        <v>110</v>
      </c>
      <c r="G13" s="38"/>
      <c r="H13" s="38" t="s">
        <v>109</v>
      </c>
      <c r="I13" s="38" t="s">
        <v>109</v>
      </c>
    </row>
    <row r="14" spans="1:9" ht="15.75" thickBot="1" x14ac:dyDescent="0.3">
      <c r="A14" s="5" t="s">
        <v>114</v>
      </c>
      <c r="B14" s="4" t="s">
        <v>113</v>
      </c>
      <c r="C14" s="3" t="s">
        <v>0</v>
      </c>
      <c r="D14" s="2">
        <v>1</v>
      </c>
      <c r="F14" s="11" t="s">
        <v>18</v>
      </c>
      <c r="G14" s="10" t="s">
        <v>17</v>
      </c>
      <c r="H14" s="10" t="s">
        <v>16</v>
      </c>
      <c r="I14" s="10" t="s">
        <v>15</v>
      </c>
    </row>
    <row r="15" spans="1:9" x14ac:dyDescent="0.25">
      <c r="A15" s="5" t="s">
        <v>112</v>
      </c>
      <c r="B15" s="4" t="s">
        <v>111</v>
      </c>
      <c r="C15" s="3" t="s">
        <v>0</v>
      </c>
      <c r="D15" s="2">
        <v>0</v>
      </c>
      <c r="F15" s="9" t="s">
        <v>104</v>
      </c>
      <c r="G15" s="8" t="s">
        <v>103</v>
      </c>
      <c r="H15" s="7" t="s">
        <v>0</v>
      </c>
      <c r="I15" s="6">
        <v>1000</v>
      </c>
    </row>
    <row r="16" spans="1:9" x14ac:dyDescent="0.25">
      <c r="A16" s="5" t="s">
        <v>108</v>
      </c>
      <c r="B16" s="4" t="s">
        <v>107</v>
      </c>
      <c r="C16" s="3" t="s">
        <v>0</v>
      </c>
      <c r="D16" s="2">
        <v>1</v>
      </c>
      <c r="F16" s="5" t="s">
        <v>100</v>
      </c>
      <c r="G16" s="4" t="s">
        <v>99</v>
      </c>
      <c r="H16" s="3" t="s">
        <v>98</v>
      </c>
      <c r="I16" s="2">
        <v>50</v>
      </c>
    </row>
    <row r="17" spans="1:9" x14ac:dyDescent="0.25">
      <c r="A17" s="5" t="s">
        <v>106</v>
      </c>
      <c r="B17" s="4" t="s">
        <v>105</v>
      </c>
      <c r="C17" s="3" t="s">
        <v>0</v>
      </c>
      <c r="D17" s="2">
        <v>0</v>
      </c>
      <c r="F17" s="38"/>
      <c r="G17" s="38"/>
      <c r="H17" s="38"/>
      <c r="I17" s="38"/>
    </row>
    <row r="18" spans="1:9" ht="15.75" thickBot="1" x14ac:dyDescent="0.3">
      <c r="A18" s="5" t="s">
        <v>102</v>
      </c>
      <c r="B18" s="4" t="s">
        <v>101</v>
      </c>
      <c r="C18" s="3" t="s">
        <v>0</v>
      </c>
      <c r="D18" s="2">
        <v>0</v>
      </c>
      <c r="F18" s="37" t="s">
        <v>93</v>
      </c>
      <c r="G18" s="32"/>
      <c r="H18" s="32"/>
      <c r="I18" s="32"/>
    </row>
    <row r="19" spans="1:9" ht="15.75" thickBot="1" x14ac:dyDescent="0.3">
      <c r="A19" s="5" t="s">
        <v>97</v>
      </c>
      <c r="B19" s="4" t="s">
        <v>96</v>
      </c>
      <c r="C19" s="3" t="s">
        <v>0</v>
      </c>
      <c r="D19" s="2">
        <v>1</v>
      </c>
      <c r="F19" s="11" t="s">
        <v>18</v>
      </c>
      <c r="G19" s="10" t="s">
        <v>17</v>
      </c>
      <c r="H19" s="10" t="s">
        <v>16</v>
      </c>
      <c r="I19" s="10" t="s">
        <v>15</v>
      </c>
    </row>
    <row r="20" spans="1:9" x14ac:dyDescent="0.25">
      <c r="A20" s="5" t="s">
        <v>95</v>
      </c>
      <c r="B20" s="4" t="s">
        <v>94</v>
      </c>
      <c r="C20" s="3" t="s">
        <v>0</v>
      </c>
      <c r="D20" s="2">
        <v>1</v>
      </c>
      <c r="F20" s="21" t="s">
        <v>90</v>
      </c>
      <c r="G20" s="20" t="s">
        <v>89</v>
      </c>
      <c r="H20" s="19" t="s">
        <v>0</v>
      </c>
      <c r="I20" s="18">
        <v>0</v>
      </c>
    </row>
    <row r="21" spans="1:9" ht="15.75" thickBot="1" x14ac:dyDescent="0.3">
      <c r="A21" s="25" t="s">
        <v>92</v>
      </c>
      <c r="B21" s="17" t="s">
        <v>91</v>
      </c>
      <c r="C21" s="15" t="s">
        <v>0</v>
      </c>
      <c r="D21" s="24" t="s">
        <v>64</v>
      </c>
      <c r="F21" s="5" t="s">
        <v>87</v>
      </c>
      <c r="G21" s="4" t="s">
        <v>86</v>
      </c>
      <c r="H21" s="3" t="s">
        <v>0</v>
      </c>
      <c r="I21" s="2">
        <v>0</v>
      </c>
    </row>
    <row r="22" spans="1:9" x14ac:dyDescent="0.25">
      <c r="A22" s="36"/>
      <c r="B22" s="35"/>
      <c r="C22" s="34"/>
      <c r="D22" s="34"/>
      <c r="F22" s="5" t="s">
        <v>148</v>
      </c>
      <c r="G22" s="4" t="s">
        <v>147</v>
      </c>
      <c r="H22" s="3" t="s">
        <v>0</v>
      </c>
      <c r="I22" s="2">
        <v>1</v>
      </c>
    </row>
    <row r="23" spans="1:9" ht="15.75" thickBot="1" x14ac:dyDescent="0.3">
      <c r="A23" s="33" t="s">
        <v>88</v>
      </c>
      <c r="B23" s="27"/>
      <c r="C23" s="27"/>
      <c r="D23" s="27"/>
      <c r="F23" s="5" t="s">
        <v>84</v>
      </c>
      <c r="G23" s="4" t="s">
        <v>83</v>
      </c>
      <c r="H23" s="3" t="s">
        <v>0</v>
      </c>
      <c r="I23" s="2">
        <v>0</v>
      </c>
    </row>
    <row r="24" spans="1:9" ht="15.75" thickBot="1" x14ac:dyDescent="0.3">
      <c r="A24" s="11" t="s">
        <v>18</v>
      </c>
      <c r="B24" s="10" t="s">
        <v>85</v>
      </c>
      <c r="C24" s="10" t="s">
        <v>16</v>
      </c>
      <c r="D24" s="10" t="s">
        <v>15</v>
      </c>
      <c r="F24" s="25" t="s">
        <v>79</v>
      </c>
      <c r="G24" s="17" t="s">
        <v>78</v>
      </c>
      <c r="H24" s="15" t="s">
        <v>44</v>
      </c>
      <c r="I24" s="24">
        <v>0</v>
      </c>
    </row>
    <row r="25" spans="1:9" x14ac:dyDescent="0.25">
      <c r="A25" s="21" t="s">
        <v>82</v>
      </c>
      <c r="B25" s="20" t="s">
        <v>81</v>
      </c>
      <c r="C25" s="29" t="s">
        <v>80</v>
      </c>
      <c r="D25" s="18">
        <v>1</v>
      </c>
      <c r="F25" s="32"/>
      <c r="G25" s="32"/>
      <c r="H25" s="32"/>
      <c r="I25" s="32"/>
    </row>
    <row r="26" spans="1:9" ht="15.75" thickBot="1" x14ac:dyDescent="0.3">
      <c r="A26" s="21" t="s">
        <v>77</v>
      </c>
      <c r="B26" s="20" t="s">
        <v>76</v>
      </c>
      <c r="C26" s="29" t="s">
        <v>75</v>
      </c>
      <c r="D26" s="18">
        <v>2.46</v>
      </c>
      <c r="F26" s="31" t="s">
        <v>74</v>
      </c>
      <c r="G26" s="30"/>
      <c r="H26" s="30"/>
      <c r="I26" s="30"/>
    </row>
    <row r="27" spans="1:9" ht="15.75" thickBot="1" x14ac:dyDescent="0.3">
      <c r="A27" s="21" t="s">
        <v>150</v>
      </c>
      <c r="B27" s="20" t="s">
        <v>151</v>
      </c>
      <c r="C27" s="29" t="s">
        <v>0</v>
      </c>
      <c r="D27" s="18" t="s">
        <v>152</v>
      </c>
      <c r="F27" s="11" t="s">
        <v>18</v>
      </c>
      <c r="G27" s="10" t="s">
        <v>17</v>
      </c>
      <c r="H27" s="10" t="s">
        <v>16</v>
      </c>
      <c r="I27" s="10" t="s">
        <v>15</v>
      </c>
    </row>
    <row r="28" spans="1:9" x14ac:dyDescent="0.25">
      <c r="A28" s="5" t="s">
        <v>71</v>
      </c>
      <c r="B28" s="4" t="s">
        <v>70</v>
      </c>
      <c r="C28" s="3" t="s">
        <v>0</v>
      </c>
      <c r="D28" s="2" t="s">
        <v>69</v>
      </c>
      <c r="F28" s="28" t="s">
        <v>73</v>
      </c>
      <c r="G28" s="20" t="s">
        <v>72</v>
      </c>
      <c r="H28" s="19" t="s">
        <v>0</v>
      </c>
      <c r="I28" s="18">
        <v>1</v>
      </c>
    </row>
    <row r="29" spans="1:9" x14ac:dyDescent="0.25">
      <c r="A29" s="5" t="s">
        <v>66</v>
      </c>
      <c r="B29" s="4" t="s">
        <v>65</v>
      </c>
      <c r="C29" s="3" t="s">
        <v>0</v>
      </c>
      <c r="D29" s="2" t="s">
        <v>64</v>
      </c>
      <c r="F29" s="5" t="s">
        <v>68</v>
      </c>
      <c r="G29" s="4" t="s">
        <v>67</v>
      </c>
      <c r="H29" s="3" t="s">
        <v>0</v>
      </c>
      <c r="I29" s="2">
        <v>0</v>
      </c>
    </row>
    <row r="30" spans="1:9" x14ac:dyDescent="0.25">
      <c r="A30" s="27"/>
      <c r="B30" s="27"/>
      <c r="C30" s="27"/>
      <c r="D30" s="27"/>
      <c r="F30" s="5" t="s">
        <v>63</v>
      </c>
      <c r="G30" s="4" t="s">
        <v>62</v>
      </c>
      <c r="H30" s="3" t="s">
        <v>0</v>
      </c>
      <c r="I30" s="2">
        <v>1</v>
      </c>
    </row>
    <row r="31" spans="1:9" ht="15.75" thickBot="1" x14ac:dyDescent="0.3">
      <c r="A31" s="23" t="s">
        <v>59</v>
      </c>
      <c r="B31" s="26"/>
      <c r="C31" s="26"/>
      <c r="D31" s="26"/>
      <c r="F31" s="5" t="s">
        <v>61</v>
      </c>
      <c r="G31" s="4" t="s">
        <v>60</v>
      </c>
      <c r="H31" s="3" t="s">
        <v>0</v>
      </c>
      <c r="I31" s="2">
        <v>1</v>
      </c>
    </row>
    <row r="32" spans="1:9" ht="15.75" thickBot="1" x14ac:dyDescent="0.3">
      <c r="A32" s="11" t="s">
        <v>18</v>
      </c>
      <c r="B32" s="10" t="s">
        <v>17</v>
      </c>
      <c r="C32" s="10" t="s">
        <v>16</v>
      </c>
      <c r="D32" s="10" t="s">
        <v>15</v>
      </c>
      <c r="F32" s="5" t="s">
        <v>58</v>
      </c>
      <c r="G32" s="4" t="s">
        <v>57</v>
      </c>
      <c r="H32" s="3" t="s">
        <v>0</v>
      </c>
      <c r="I32" s="2">
        <v>0</v>
      </c>
    </row>
    <row r="33" spans="1:9" ht="15.75" thickBot="1" x14ac:dyDescent="0.3">
      <c r="A33" s="21" t="s">
        <v>54</v>
      </c>
      <c r="B33" s="45" t="s">
        <v>53</v>
      </c>
      <c r="C33" s="46" t="s">
        <v>44</v>
      </c>
      <c r="D33" s="47">
        <v>180.1</v>
      </c>
      <c r="F33" s="25" t="s">
        <v>56</v>
      </c>
      <c r="G33" s="17" t="s">
        <v>55</v>
      </c>
      <c r="H33" s="15" t="s">
        <v>0</v>
      </c>
      <c r="I33" s="24">
        <v>1</v>
      </c>
    </row>
    <row r="34" spans="1:9" x14ac:dyDescent="0.25">
      <c r="A34" s="5" t="s">
        <v>52</v>
      </c>
      <c r="B34" s="48" t="s">
        <v>51</v>
      </c>
      <c r="C34" s="49" t="s">
        <v>44</v>
      </c>
      <c r="D34" s="50">
        <v>0.3</v>
      </c>
    </row>
    <row r="35" spans="1:9" x14ac:dyDescent="0.25">
      <c r="A35" s="5" t="s">
        <v>50</v>
      </c>
      <c r="B35" s="4" t="s">
        <v>49</v>
      </c>
      <c r="C35" s="3" t="s">
        <v>44</v>
      </c>
      <c r="D35" s="2">
        <v>-1</v>
      </c>
    </row>
    <row r="36" spans="1:9" x14ac:dyDescent="0.25">
      <c r="A36" s="5" t="s">
        <v>48</v>
      </c>
      <c r="B36" s="4" t="s">
        <v>47</v>
      </c>
      <c r="C36" s="3" t="s">
        <v>0</v>
      </c>
      <c r="D36" s="2">
        <v>3</v>
      </c>
    </row>
    <row r="37" spans="1:9" x14ac:dyDescent="0.25">
      <c r="A37" s="5" t="s">
        <v>46</v>
      </c>
      <c r="B37" s="4" t="s">
        <v>45</v>
      </c>
      <c r="C37" s="3" t="s">
        <v>0</v>
      </c>
      <c r="D37" s="2">
        <v>3</v>
      </c>
    </row>
    <row r="38" spans="1:9" ht="15.75" thickBot="1" x14ac:dyDescent="0.3">
      <c r="A38" s="41" t="s">
        <v>153</v>
      </c>
      <c r="B38" s="42" t="s">
        <v>154</v>
      </c>
      <c r="C38" s="43" t="s">
        <v>0</v>
      </c>
      <c r="D38" s="44">
        <f>1/8</f>
        <v>0.125</v>
      </c>
    </row>
    <row r="39" spans="1:9" x14ac:dyDescent="0.25">
      <c r="A39" s="23"/>
      <c r="B39" s="23"/>
      <c r="C39" s="23"/>
      <c r="D39" s="23"/>
    </row>
    <row r="40" spans="1:9" ht="15.75" thickBot="1" x14ac:dyDescent="0.3">
      <c r="A40" s="22" t="s">
        <v>43</v>
      </c>
      <c r="B40" s="13"/>
      <c r="C40" s="13"/>
      <c r="D40" s="13"/>
    </row>
    <row r="41" spans="1:9" ht="15.75" thickBot="1" x14ac:dyDescent="0.3">
      <c r="A41" s="11" t="s">
        <v>18</v>
      </c>
      <c r="B41" s="10" t="s">
        <v>17</v>
      </c>
      <c r="C41" s="10" t="s">
        <v>16</v>
      </c>
      <c r="D41" s="10" t="s">
        <v>15</v>
      </c>
    </row>
    <row r="42" spans="1:9" x14ac:dyDescent="0.25">
      <c r="A42" s="21" t="s">
        <v>42</v>
      </c>
      <c r="B42" s="20" t="s">
        <v>41</v>
      </c>
      <c r="C42" s="19" t="s">
        <v>0</v>
      </c>
      <c r="D42" s="18">
        <v>1.65</v>
      </c>
    </row>
    <row r="43" spans="1:9" x14ac:dyDescent="0.25">
      <c r="A43" s="5" t="s">
        <v>40</v>
      </c>
      <c r="B43" s="4" t="s">
        <v>39</v>
      </c>
      <c r="C43" s="3" t="s">
        <v>36</v>
      </c>
      <c r="D43" s="2">
        <v>1000</v>
      </c>
    </row>
    <row r="44" spans="1:9" x14ac:dyDescent="0.25">
      <c r="A44" s="5" t="s">
        <v>38</v>
      </c>
      <c r="B44" s="4" t="s">
        <v>37</v>
      </c>
      <c r="C44" s="3" t="s">
        <v>36</v>
      </c>
      <c r="D44" s="2">
        <v>1000</v>
      </c>
    </row>
    <row r="45" spans="1:9" x14ac:dyDescent="0.25">
      <c r="A45" s="5" t="s">
        <v>35</v>
      </c>
      <c r="B45" s="4" t="s">
        <v>34</v>
      </c>
      <c r="C45" s="3" t="s">
        <v>33</v>
      </c>
      <c r="D45" s="2">
        <v>1000</v>
      </c>
    </row>
    <row r="46" spans="1:9" x14ac:dyDescent="0.25">
      <c r="A46" s="5" t="s">
        <v>32</v>
      </c>
      <c r="B46" s="4" t="s">
        <v>31</v>
      </c>
      <c r="C46" s="3" t="s">
        <v>30</v>
      </c>
      <c r="D46" s="2">
        <v>0.4</v>
      </c>
    </row>
    <row r="47" spans="1:9" x14ac:dyDescent="0.25">
      <c r="A47" s="5" t="s">
        <v>29</v>
      </c>
      <c r="B47" s="4" t="s">
        <v>28</v>
      </c>
      <c r="C47" s="3" t="s">
        <v>0</v>
      </c>
      <c r="D47" s="2">
        <v>0</v>
      </c>
    </row>
    <row r="48" spans="1:9" x14ac:dyDescent="0.25">
      <c r="A48" s="5" t="s">
        <v>27</v>
      </c>
      <c r="B48" s="4" t="s">
        <v>26</v>
      </c>
      <c r="C48" s="3" t="s">
        <v>0</v>
      </c>
      <c r="D48" s="2">
        <v>0</v>
      </c>
    </row>
    <row r="49" spans="1:4" x14ac:dyDescent="0.25">
      <c r="A49" s="5" t="s">
        <v>25</v>
      </c>
      <c r="B49" s="4" t="s">
        <v>24</v>
      </c>
      <c r="C49" s="3" t="s">
        <v>0</v>
      </c>
      <c r="D49" s="2">
        <v>15</v>
      </c>
    </row>
    <row r="50" spans="1:4" x14ac:dyDescent="0.25">
      <c r="A50" s="5" t="s">
        <v>23</v>
      </c>
      <c r="B50" s="4" t="s">
        <v>22</v>
      </c>
      <c r="C50" s="3" t="s">
        <v>0</v>
      </c>
      <c r="D50" s="2">
        <v>15</v>
      </c>
    </row>
    <row r="51" spans="1:4" ht="60.75" thickBot="1" x14ac:dyDescent="0.3">
      <c r="A51" s="17" t="s">
        <v>21</v>
      </c>
      <c r="B51" s="16" t="s">
        <v>20</v>
      </c>
      <c r="C51" s="15" t="s">
        <v>0</v>
      </c>
      <c r="D51" s="14">
        <v>0.9</v>
      </c>
    </row>
    <row r="52" spans="1:4" x14ac:dyDescent="0.25">
      <c r="A52" s="13"/>
      <c r="B52" s="13"/>
      <c r="C52" s="13"/>
      <c r="D52" s="13"/>
    </row>
    <row r="53" spans="1:4" ht="14.25" customHeight="1" x14ac:dyDescent="0.25"/>
    <row r="54" spans="1:4" ht="15" customHeight="1" x14ac:dyDescent="0.25"/>
    <row r="60" spans="1:4" ht="19.5" customHeight="1" x14ac:dyDescent="0.25"/>
  </sheetData>
  <sheetProtection formatColumns="0" selectLockedCells="1"/>
  <protectedRanges>
    <protectedRange sqref="I15:I16 I20:I21 I23:I24 I28" name="Range1_1"/>
    <protectedRange sqref="D51 D42:D46" name="Range1_1_4"/>
    <protectedRange sqref="D47:D49" name="Range1_1_4_1"/>
    <protectedRange sqref="D14 D16:D18 D9:D12 D6" name="Range1_1_1"/>
    <protectedRange sqref="D8 D15" name="Range1_1_1_1"/>
    <protectedRange sqref="D13" name="Range1_1_2"/>
    <protectedRange sqref="D3" name="Range1_1_3_2"/>
    <protectedRange sqref="D4" name="Range1_1_8"/>
    <protectedRange sqref="D5" name="Range1_1_7"/>
    <protectedRange sqref="D7" name="Range1_1_5"/>
    <protectedRange sqref="D25" name="Range1_1_3_3"/>
    <protectedRange sqref="D29" name="Range1_1_2_1_1"/>
    <protectedRange sqref="D26:D27" name="Range1_1_5_2"/>
    <protectedRange sqref="D28" name="Range1_1_8_1_1"/>
    <protectedRange sqref="D33" name="Range1_1_3_1_3"/>
    <protectedRange sqref="D34" name="Range1_1_3_1_4"/>
    <protectedRange sqref="D35" name="Range1_1_3_1_5"/>
    <protectedRange sqref="D36" name="Range1_1_3_1_7"/>
    <protectedRange sqref="D37:D38" name="Range1_1_3_1_8"/>
  </protectedRange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Rubblemound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Salgado Dominguez, Gabriela</dc:creator>
  <cp:lastModifiedBy>Gabriela Salgado</cp:lastModifiedBy>
  <dcterms:created xsi:type="dcterms:W3CDTF">2025-09-15T02:10:40Z</dcterms:created>
  <dcterms:modified xsi:type="dcterms:W3CDTF">2026-08-10T22:01:31Z</dcterms:modified>
</cp:coreProperties>
</file>